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.monhoc\BT_QLDA\BT.QLDA\QLDA_Buoi11_NguyenHoTruongTam_1150080156\"/>
    </mc:Choice>
  </mc:AlternateContent>
  <xr:revisionPtr revIDLastSave="0" documentId="13_ncr:1_{FBB1A97B-18D6-46D2-87EB-3FBD60141993}" xr6:coauthVersionLast="47" xr6:coauthVersionMax="47" xr10:uidLastSave="{00000000-0000-0000-0000-000000000000}"/>
  <bookViews>
    <workbookView xWindow="-108" yWindow="-108" windowWidth="23256" windowHeight="12456" activeTab="5" xr2:uid="{3EDDE9D7-FC49-4A7E-AABC-89EB32EDAE8D}"/>
  </bookViews>
  <sheets>
    <sheet name="Bài1" sheetId="1" r:id="rId1"/>
    <sheet name="Bài2" sheetId="2" r:id="rId2"/>
    <sheet name="Bài3" sheetId="3" r:id="rId3"/>
    <sheet name="Bài4" sheetId="4" r:id="rId4"/>
    <sheet name="Bài5" sheetId="5" r:id="rId5"/>
    <sheet name="Bài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C7" i="6"/>
  <c r="B7" i="6"/>
  <c r="B17" i="5"/>
  <c r="B16" i="5"/>
  <c r="B13" i="5"/>
  <c r="B12" i="5"/>
  <c r="B11" i="5"/>
  <c r="B11" i="4"/>
  <c r="B10" i="4"/>
  <c r="B9" i="4"/>
  <c r="B8" i="4"/>
  <c r="B7" i="4"/>
  <c r="B7" i="3"/>
  <c r="E2" i="3"/>
  <c r="E3" i="3" s="1"/>
  <c r="E4" i="3" s="1"/>
  <c r="E5" i="3" s="1"/>
  <c r="D2" i="3"/>
  <c r="B15" i="2"/>
  <c r="B13" i="2"/>
  <c r="B12" i="2"/>
  <c r="F9" i="2"/>
  <c r="F10" i="2"/>
  <c r="F8" i="2"/>
  <c r="F5" i="2"/>
  <c r="F6" i="2"/>
  <c r="F4" i="2"/>
  <c r="C10" i="2"/>
  <c r="D10" i="2"/>
  <c r="E10" i="2"/>
  <c r="B10" i="2"/>
  <c r="C6" i="2"/>
  <c r="D6" i="2"/>
  <c r="E6" i="2"/>
  <c r="B6" i="2"/>
  <c r="G4" i="1"/>
  <c r="B14" i="1"/>
  <c r="G14" i="1" s="1"/>
  <c r="B7" i="1"/>
  <c r="G7" i="1" s="1"/>
  <c r="G12" i="1"/>
  <c r="G13" i="1"/>
  <c r="G11" i="1"/>
  <c r="G5" i="1"/>
  <c r="G6" i="1"/>
  <c r="D3" i="3" l="1"/>
  <c r="D4" i="3" s="1"/>
  <c r="D5" i="3" s="1"/>
</calcChain>
</file>

<file path=xl/sharedStrings.xml><?xml version="1.0" encoding="utf-8"?>
<sst xmlns="http://schemas.openxmlformats.org/spreadsheetml/2006/main" count="97" uniqueCount="75">
  <si>
    <t>Discount rate</t>
  </si>
  <si>
    <t>PROJECT 1</t>
  </si>
  <si>
    <t>YEAR 1</t>
  </si>
  <si>
    <t>YEAR 2</t>
  </si>
  <si>
    <t>YEAR 3</t>
  </si>
  <si>
    <t>YEAR 4</t>
  </si>
  <si>
    <t>YEAR 5</t>
  </si>
  <si>
    <t>Benefits</t>
  </si>
  <si>
    <t>$-</t>
  </si>
  <si>
    <t>Cost</t>
  </si>
  <si>
    <t>Cash flow</t>
  </si>
  <si>
    <t>NPV</t>
  </si>
  <si>
    <t>PROJECT 2</t>
  </si>
  <si>
    <t>$ -</t>
  </si>
  <si>
    <t>TOTAL</t>
  </si>
  <si>
    <t>Vì NPV của project 2 &gt; project 1 ($3612 &gt; $2316) nên project 2 được chọn</t>
  </si>
  <si>
    <t>Assume the project is complete in Year 0</t>
  </si>
  <si>
    <t>Total</t>
  </si>
  <si>
    <t>Costs</t>
  </si>
  <si>
    <t>Discount factor</t>
  </si>
  <si>
    <t>Discounted Cost</t>
  </si>
  <si>
    <t>Discounted benefits</t>
  </si>
  <si>
    <t>Discounted benefits - cost</t>
  </si>
  <si>
    <t>Cumulative benefits - cost</t>
  </si>
  <si>
    <t>ROI</t>
  </si>
  <si>
    <t>Year</t>
  </si>
  <si>
    <t>Cum Costs</t>
  </si>
  <si>
    <t>Cum Benefits</t>
  </si>
  <si>
    <t>Payback Period</t>
  </si>
  <si>
    <t>BCWS (PV)</t>
  </si>
  <si>
    <t>BCWP (EV)</t>
  </si>
  <si>
    <t>ACWP (AC)</t>
  </si>
  <si>
    <t>BAC</t>
  </si>
  <si>
    <t>Thời gian KH</t>
  </si>
  <si>
    <t>CV - Cost Variance</t>
  </si>
  <si>
    <t>SV - Schedule Variance</t>
  </si>
  <si>
    <t>CPI - Cost Performance Index</t>
  </si>
  <si>
    <t>SPI - Schedule Performance Index</t>
  </si>
  <si>
    <t>Vì CV = -5000 nên dự án vượt ngân sách</t>
  </si>
  <si>
    <t>Vì SV= -3000 nên dự án chận tiến độ</t>
  </si>
  <si>
    <t>Vì CPI =0.8 &lt;1 nên dự án kém hiệu quả về chi phí</t>
  </si>
  <si>
    <t>Thời gian dự kiến</t>
  </si>
  <si>
    <t>Dự án cần khoảng 1,15 năm để hoàn thành</t>
  </si>
  <si>
    <t>Tổng số việc</t>
  </si>
  <si>
    <t>Tổng số tuần</t>
  </si>
  <si>
    <t>Thời gian trôi qua</t>
  </si>
  <si>
    <t>Công việc</t>
  </si>
  <si>
    <t>BCWS</t>
  </si>
  <si>
    <t>BCWP</t>
  </si>
  <si>
    <t>ACWP</t>
  </si>
  <si>
    <t>Thiết kế</t>
  </si>
  <si>
    <t>Sản xuất</t>
  </si>
  <si>
    <t>Thẩm định</t>
  </si>
  <si>
    <t>Lắp ráp</t>
  </si>
  <si>
    <t>Bán hàng</t>
  </si>
  <si>
    <t>Chung</t>
  </si>
  <si>
    <t>Tổng thời gian KH</t>
  </si>
  <si>
    <t>Kết quả đạt được</t>
  </si>
  <si>
    <t>Kinh phí/việc</t>
  </si>
  <si>
    <t>ACWP (Chi phí thực tế)</t>
  </si>
  <si>
    <t>BCWP (Giá trị kiếm được)</t>
  </si>
  <si>
    <t>BCWS (Giá trị kế hoạch)</t>
  </si>
  <si>
    <t>KẾT QUẢ</t>
  </si>
  <si>
    <t>1. CPI (Hiệu quả vốn)</t>
  </si>
  <si>
    <t>2. SPI (Độ tin cậy KH)</t>
  </si>
  <si>
    <t>Chi phí đã sử dụng</t>
  </si>
  <si>
    <t>Thời gian</t>
  </si>
  <si>
    <t>Chi phí KH/tuần (tr.đ)</t>
  </si>
  <si>
    <t>Số tuần thực hiện</t>
  </si>
  <si>
    <t>Chi phí (tr.đ)</t>
  </si>
  <si>
    <t>2,5</t>
  </si>
  <si>
    <t>7,5</t>
  </si>
  <si>
    <t>Tuần</t>
  </si>
  <si>
    <t>(1 2) (3 4) (5 6 7) (8 10) (11 12)</t>
  </si>
  <si>
    <t>31,5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</si>
</sst>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9" fontId="1" fillId="0" borderId="0" xfId="0" applyNumberFormat="1" applyFont="1" applyAlignment="1">
      <alignment horizontal="right" wrapText="1"/>
    </xf>
    <xf numFmtId="0" fontId="1" fillId="0" borderId="2" xfId="0" applyFont="1" applyBorder="1" applyAlignment="1">
      <alignment wrapText="1"/>
    </xf>
    <xf numFmtId="9" fontId="1" fillId="0" borderId="2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4" fontId="1" fillId="0" borderId="2" xfId="0" applyNumberFormat="1" applyFont="1" applyBorder="1" applyAlignment="1">
      <alignment wrapText="1"/>
    </xf>
    <xf numFmtId="164" fontId="0" fillId="0" borderId="2" xfId="0" applyNumberFormat="1" applyBorder="1"/>
    <xf numFmtId="164" fontId="1" fillId="0" borderId="0" xfId="0" applyNumberFormat="1" applyFont="1" applyAlignment="1">
      <alignment wrapText="1"/>
    </xf>
    <xf numFmtId="164" fontId="0" fillId="0" borderId="0" xfId="0" applyNumberFormat="1"/>
    <xf numFmtId="164" fontId="1" fillId="0" borderId="0" xfId="0" applyNumberFormat="1" applyFont="1" applyAlignment="1">
      <alignment horizontal="right" wrapText="1"/>
    </xf>
    <xf numFmtId="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2ED-99D7-4197-BBFB-13651E925421}">
  <dimension ref="A1:G16"/>
  <sheetViews>
    <sheetView workbookViewId="0">
      <selection activeCell="H17" sqref="H17"/>
    </sheetView>
  </sheetViews>
  <sheetFormatPr defaultRowHeight="13.8" x14ac:dyDescent="0.25"/>
  <cols>
    <col min="1" max="1" width="13.3984375" customWidth="1"/>
    <col min="2" max="2" width="15" customWidth="1"/>
    <col min="3" max="3" width="15.09765625" customWidth="1"/>
    <col min="4" max="4" width="14.796875" customWidth="1"/>
    <col min="5" max="5" width="17.69921875" customWidth="1"/>
    <col min="6" max="6" width="16" customWidth="1"/>
    <col min="7" max="7" width="12.69921875" customWidth="1"/>
  </cols>
  <sheetData>
    <row r="1" spans="1:7" x14ac:dyDescent="0.25">
      <c r="A1" s="6" t="s">
        <v>0</v>
      </c>
      <c r="B1" s="7">
        <v>0.1</v>
      </c>
      <c r="C1" s="3"/>
      <c r="D1" s="3"/>
      <c r="E1" s="3"/>
      <c r="F1" s="3"/>
    </row>
    <row r="2" spans="1:7" x14ac:dyDescent="0.25">
      <c r="A2" s="3"/>
      <c r="B2" s="3"/>
      <c r="C2" s="3"/>
      <c r="D2" s="3"/>
      <c r="E2" s="3"/>
      <c r="F2" s="3"/>
    </row>
    <row r="3" spans="1:7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14</v>
      </c>
    </row>
    <row r="4" spans="1:7" x14ac:dyDescent="0.25">
      <c r="A4" s="10" t="s">
        <v>7</v>
      </c>
      <c r="B4" s="10" t="s">
        <v>8</v>
      </c>
      <c r="C4" s="10">
        <v>2000</v>
      </c>
      <c r="D4" s="10">
        <v>3000</v>
      </c>
      <c r="E4" s="10">
        <v>4000</v>
      </c>
      <c r="F4" s="10">
        <v>5000</v>
      </c>
      <c r="G4" s="11">
        <f>SUM(B4:F4)</f>
        <v>14000</v>
      </c>
    </row>
    <row r="5" spans="1:7" x14ac:dyDescent="0.25">
      <c r="A5" s="10" t="s">
        <v>9</v>
      </c>
      <c r="B5" s="10">
        <v>5000</v>
      </c>
      <c r="C5" s="10">
        <v>1000</v>
      </c>
      <c r="D5" s="10">
        <v>1000</v>
      </c>
      <c r="E5" s="10">
        <v>1000</v>
      </c>
      <c r="F5" s="10">
        <v>1000</v>
      </c>
      <c r="G5" s="11">
        <f t="shared" ref="G5:G7" si="0">SUM(B5:F5)</f>
        <v>9000</v>
      </c>
    </row>
    <row r="6" spans="1:7" x14ac:dyDescent="0.25">
      <c r="A6" s="10" t="s">
        <v>10</v>
      </c>
      <c r="B6" s="10">
        <v>-5000</v>
      </c>
      <c r="C6" s="10">
        <v>1000</v>
      </c>
      <c r="D6" s="10">
        <v>2000</v>
      </c>
      <c r="E6" s="10">
        <v>3000</v>
      </c>
      <c r="F6" s="10">
        <v>4000</v>
      </c>
      <c r="G6" s="11">
        <f t="shared" si="0"/>
        <v>5000</v>
      </c>
    </row>
    <row r="7" spans="1:7" x14ac:dyDescent="0.25">
      <c r="A7" s="10" t="s">
        <v>11</v>
      </c>
      <c r="B7" s="10">
        <f>NPV(B1, B6:F6)</f>
        <v>2316.346995672176</v>
      </c>
      <c r="C7" s="10"/>
      <c r="D7" s="10"/>
      <c r="E7" s="10"/>
      <c r="F7" s="10"/>
      <c r="G7" s="11">
        <f t="shared" si="0"/>
        <v>2316.346995672176</v>
      </c>
    </row>
    <row r="8" spans="1:7" x14ac:dyDescent="0.25">
      <c r="A8" s="12"/>
      <c r="B8" s="12"/>
      <c r="C8" s="12"/>
      <c r="D8" s="12"/>
      <c r="E8" s="12"/>
      <c r="F8" s="12"/>
      <c r="G8" s="13"/>
    </row>
    <row r="9" spans="1:7" x14ac:dyDescent="0.25">
      <c r="A9" s="12"/>
      <c r="B9" s="12"/>
      <c r="C9" s="12"/>
      <c r="D9" s="12"/>
      <c r="E9" s="12"/>
      <c r="F9" s="12"/>
      <c r="G9" s="13"/>
    </row>
    <row r="10" spans="1:7" x14ac:dyDescent="0.25">
      <c r="A10" s="10" t="s">
        <v>12</v>
      </c>
      <c r="B10" s="10" t="s">
        <v>2</v>
      </c>
      <c r="C10" s="10" t="s">
        <v>3</v>
      </c>
      <c r="D10" s="10" t="s">
        <v>4</v>
      </c>
      <c r="E10" s="10" t="s">
        <v>5</v>
      </c>
      <c r="F10" s="10" t="s">
        <v>6</v>
      </c>
      <c r="G10" s="10" t="s">
        <v>14</v>
      </c>
    </row>
    <row r="11" spans="1:7" x14ac:dyDescent="0.25">
      <c r="A11" s="10" t="s">
        <v>7</v>
      </c>
      <c r="B11" s="10">
        <v>1000</v>
      </c>
      <c r="C11" s="10">
        <v>2000</v>
      </c>
      <c r="D11" s="10">
        <v>4000</v>
      </c>
      <c r="E11" s="10">
        <v>4000</v>
      </c>
      <c r="F11" s="10">
        <v>4000</v>
      </c>
      <c r="G11" s="11">
        <f>SUM(B11:F11)</f>
        <v>15000</v>
      </c>
    </row>
    <row r="12" spans="1:7" x14ac:dyDescent="0.25">
      <c r="A12" s="10" t="s">
        <v>9</v>
      </c>
      <c r="B12" s="10">
        <v>2000</v>
      </c>
      <c r="C12" s="10">
        <v>2000</v>
      </c>
      <c r="D12" s="10">
        <v>2000</v>
      </c>
      <c r="E12" s="10">
        <v>2000</v>
      </c>
      <c r="F12" s="10">
        <v>2000</v>
      </c>
      <c r="G12" s="11">
        <f t="shared" ref="G12:G14" si="1">SUM(B12:F12)</f>
        <v>10000</v>
      </c>
    </row>
    <row r="13" spans="1:7" x14ac:dyDescent="0.25">
      <c r="A13" s="10" t="s">
        <v>10</v>
      </c>
      <c r="B13" s="10">
        <v>-1000</v>
      </c>
      <c r="C13" s="10" t="s">
        <v>13</v>
      </c>
      <c r="D13" s="10">
        <v>2000</v>
      </c>
      <c r="E13" s="10">
        <v>2000</v>
      </c>
      <c r="F13" s="10">
        <v>2000</v>
      </c>
      <c r="G13" s="11">
        <f t="shared" si="1"/>
        <v>5000</v>
      </c>
    </row>
    <row r="14" spans="1:7" x14ac:dyDescent="0.25">
      <c r="A14" s="10" t="s">
        <v>11</v>
      </c>
      <c r="B14" s="10">
        <f>NPV(B1, B13:F13)</f>
        <v>3612.4581654258582</v>
      </c>
      <c r="C14" s="10"/>
      <c r="D14" s="10"/>
      <c r="E14" s="10"/>
      <c r="F14" s="10"/>
      <c r="G14" s="11">
        <f t="shared" si="1"/>
        <v>3612.4581654258582</v>
      </c>
    </row>
    <row r="16" spans="1:7" ht="18" customHeight="1" x14ac:dyDescent="0.25">
      <c r="A16" s="16" t="s">
        <v>15</v>
      </c>
      <c r="B16" s="16"/>
      <c r="C16" s="16"/>
      <c r="D16" s="16"/>
      <c r="E16" s="16"/>
      <c r="F16" s="16"/>
      <c r="G16" s="16"/>
    </row>
  </sheetData>
  <mergeCells count="1"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B91-70FD-462A-8536-11D166820F70}">
  <dimension ref="A1:F15"/>
  <sheetViews>
    <sheetView workbookViewId="0">
      <selection activeCell="D16" sqref="D16"/>
    </sheetView>
  </sheetViews>
  <sheetFormatPr defaultRowHeight="13.8" x14ac:dyDescent="0.25"/>
  <cols>
    <col min="1" max="1" width="26.09765625" customWidth="1"/>
    <col min="2" max="2" width="13.8984375" customWidth="1"/>
    <col min="3" max="3" width="14.796875" customWidth="1"/>
    <col min="4" max="4" width="15" customWidth="1"/>
    <col min="5" max="5" width="15.59765625" customWidth="1"/>
    <col min="6" max="6" width="14.19921875" customWidth="1"/>
  </cols>
  <sheetData>
    <row r="1" spans="1:6" x14ac:dyDescent="0.25">
      <c r="A1" s="3" t="s">
        <v>0</v>
      </c>
      <c r="B1" s="5">
        <v>0.08</v>
      </c>
      <c r="C1" s="3"/>
      <c r="D1" s="3"/>
      <c r="E1" s="3"/>
      <c r="F1" s="3"/>
    </row>
    <row r="2" spans="1:6" x14ac:dyDescent="0.25">
      <c r="A2" s="9" t="s">
        <v>16</v>
      </c>
      <c r="B2" s="3"/>
      <c r="C2" s="3"/>
      <c r="D2" s="3"/>
      <c r="E2" s="3"/>
      <c r="F2" s="3"/>
    </row>
    <row r="3" spans="1:6" x14ac:dyDescent="0.25">
      <c r="A3" s="3"/>
      <c r="B3" s="4">
        <v>0</v>
      </c>
      <c r="C3" s="4">
        <v>1</v>
      </c>
      <c r="D3" s="4">
        <v>2</v>
      </c>
      <c r="E3" s="4">
        <v>3</v>
      </c>
      <c r="F3" s="3" t="s">
        <v>17</v>
      </c>
    </row>
    <row r="4" spans="1:6" x14ac:dyDescent="0.25">
      <c r="A4" s="3" t="s">
        <v>18</v>
      </c>
      <c r="B4" s="4">
        <v>140</v>
      </c>
      <c r="C4" s="4">
        <v>40</v>
      </c>
      <c r="D4" s="4">
        <v>40</v>
      </c>
      <c r="E4" s="4">
        <v>40</v>
      </c>
      <c r="F4" s="3">
        <f>SUM(B4:E4)</f>
        <v>260</v>
      </c>
    </row>
    <row r="5" spans="1:6" x14ac:dyDescent="0.25">
      <c r="A5" s="3" t="s">
        <v>19</v>
      </c>
      <c r="B5" s="4">
        <v>1</v>
      </c>
      <c r="C5" s="3">
        <v>0.93</v>
      </c>
      <c r="D5" s="3">
        <v>0.86</v>
      </c>
      <c r="E5" s="3">
        <v>0.79</v>
      </c>
      <c r="F5" s="3">
        <f t="shared" ref="F5:F6" si="0">SUM(B5:E5)</f>
        <v>3.58</v>
      </c>
    </row>
    <row r="6" spans="1:6" x14ac:dyDescent="0.25">
      <c r="A6" s="3" t="s">
        <v>20</v>
      </c>
      <c r="B6" s="3">
        <f>B4*B5</f>
        <v>140</v>
      </c>
      <c r="C6" s="3">
        <f t="shared" ref="C6:E6" si="1">C4*C5</f>
        <v>37.200000000000003</v>
      </c>
      <c r="D6" s="3">
        <f t="shared" si="1"/>
        <v>34.4</v>
      </c>
      <c r="E6" s="3">
        <f t="shared" si="1"/>
        <v>31.6</v>
      </c>
      <c r="F6" s="3">
        <f t="shared" si="0"/>
        <v>243.2</v>
      </c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 t="s">
        <v>7</v>
      </c>
      <c r="B8" s="3"/>
      <c r="C8" s="4">
        <v>200</v>
      </c>
      <c r="D8" s="4">
        <v>200</v>
      </c>
      <c r="E8" s="4">
        <v>200</v>
      </c>
      <c r="F8" s="3">
        <f>SUM(B8:E8)</f>
        <v>600</v>
      </c>
    </row>
    <row r="9" spans="1:6" x14ac:dyDescent="0.25">
      <c r="A9" s="3" t="s">
        <v>19</v>
      </c>
      <c r="B9" s="4">
        <v>1</v>
      </c>
      <c r="C9" s="3">
        <v>0.93</v>
      </c>
      <c r="D9" s="3">
        <v>0.86</v>
      </c>
      <c r="E9" s="3">
        <v>0.79</v>
      </c>
      <c r="F9" s="3">
        <f t="shared" ref="F9:F10" si="2">SUM(B9:E9)</f>
        <v>3.58</v>
      </c>
    </row>
    <row r="10" spans="1:6" x14ac:dyDescent="0.25">
      <c r="A10" s="9" t="s">
        <v>21</v>
      </c>
      <c r="B10" s="3">
        <f>B8*B9</f>
        <v>0</v>
      </c>
      <c r="C10" s="3">
        <f t="shared" ref="C10:E10" si="3">C8*C9</f>
        <v>186</v>
      </c>
      <c r="D10" s="3">
        <f t="shared" si="3"/>
        <v>172</v>
      </c>
      <c r="E10" s="3">
        <f t="shared" si="3"/>
        <v>158</v>
      </c>
      <c r="F10" s="3">
        <f t="shared" si="2"/>
        <v>516</v>
      </c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9" t="s">
        <v>22</v>
      </c>
      <c r="B12" s="3">
        <f>F10-F6</f>
        <v>272.8</v>
      </c>
      <c r="C12" s="3"/>
      <c r="D12" s="3"/>
      <c r="E12" s="3"/>
      <c r="F12" s="3"/>
    </row>
    <row r="13" spans="1:6" x14ac:dyDescent="0.25">
      <c r="A13" s="9" t="s">
        <v>23</v>
      </c>
      <c r="B13" s="3">
        <f>B12</f>
        <v>272.8</v>
      </c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 t="s">
        <v>24</v>
      </c>
      <c r="B15" s="3">
        <f>(F10-F6)/F6</f>
        <v>1.1217105263157896</v>
      </c>
      <c r="C15" s="3"/>
      <c r="D15" s="3"/>
      <c r="E15" s="3"/>
      <c r="F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94F6-C4D5-489C-BF75-83AA319DADBE}">
  <dimension ref="A1:E7"/>
  <sheetViews>
    <sheetView workbookViewId="0">
      <selection activeCell="B7" sqref="B7"/>
    </sheetView>
  </sheetViews>
  <sheetFormatPr defaultRowHeight="13.8" x14ac:dyDescent="0.25"/>
  <cols>
    <col min="1" max="1" width="15.09765625" customWidth="1"/>
    <col min="2" max="2" width="14.8984375" customWidth="1"/>
    <col min="3" max="3" width="14.69921875" customWidth="1"/>
    <col min="4" max="4" width="15.59765625" customWidth="1"/>
    <col min="5" max="5" width="14.09765625" customWidth="1"/>
  </cols>
  <sheetData>
    <row r="1" spans="1:5" x14ac:dyDescent="0.25">
      <c r="A1" s="3" t="s">
        <v>25</v>
      </c>
      <c r="B1" s="3" t="s">
        <v>18</v>
      </c>
      <c r="C1" s="3" t="s">
        <v>7</v>
      </c>
      <c r="D1" s="3" t="s">
        <v>26</v>
      </c>
      <c r="E1" s="3" t="s">
        <v>27</v>
      </c>
    </row>
    <row r="2" spans="1:5" x14ac:dyDescent="0.25">
      <c r="A2" s="4">
        <v>0</v>
      </c>
      <c r="B2" s="4">
        <v>140000</v>
      </c>
      <c r="C2" s="4">
        <v>0</v>
      </c>
      <c r="D2" s="3">
        <f>B2</f>
        <v>140000</v>
      </c>
      <c r="E2" s="3">
        <f>C2</f>
        <v>0</v>
      </c>
    </row>
    <row r="3" spans="1:5" x14ac:dyDescent="0.25">
      <c r="A3" s="4">
        <v>1</v>
      </c>
      <c r="B3" s="4">
        <v>37200</v>
      </c>
      <c r="C3" s="4">
        <v>186000</v>
      </c>
      <c r="D3" s="3">
        <f>D2+B3</f>
        <v>177200</v>
      </c>
      <c r="E3" s="3">
        <f>E2+C3</f>
        <v>186000</v>
      </c>
    </row>
    <row r="4" spans="1:5" x14ac:dyDescent="0.25">
      <c r="A4" s="4">
        <v>2</v>
      </c>
      <c r="B4" s="4">
        <v>34400</v>
      </c>
      <c r="C4" s="4">
        <v>172000</v>
      </c>
      <c r="D4" s="3">
        <f t="shared" ref="D4:D5" si="0">D3+B4</f>
        <v>211600</v>
      </c>
      <c r="E4" s="3">
        <f t="shared" ref="E4:E5" si="1">E3+C4</f>
        <v>358000</v>
      </c>
    </row>
    <row r="5" spans="1:5" x14ac:dyDescent="0.25">
      <c r="A5" s="4">
        <v>3</v>
      </c>
      <c r="B5" s="4">
        <v>31600</v>
      </c>
      <c r="C5" s="4">
        <v>158000</v>
      </c>
      <c r="D5" s="3">
        <f t="shared" si="0"/>
        <v>243200</v>
      </c>
      <c r="E5" s="3">
        <f t="shared" si="1"/>
        <v>516000</v>
      </c>
    </row>
    <row r="6" spans="1:5" x14ac:dyDescent="0.25">
      <c r="A6" s="3"/>
      <c r="B6" s="3"/>
      <c r="C6" s="3"/>
      <c r="D6" s="3"/>
      <c r="E6" s="3"/>
    </row>
    <row r="7" spans="1:5" x14ac:dyDescent="0.25">
      <c r="A7" s="3" t="s">
        <v>28</v>
      </c>
      <c r="B7">
        <f>A2 + (D2-E2) / (C3-B3)</f>
        <v>0.94086021505376349</v>
      </c>
      <c r="C7" s="3"/>
      <c r="D7" s="3"/>
      <c r="E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3E49-1AC8-4DB1-AE7B-1FDA0AC14018}">
  <dimension ref="A1:B16"/>
  <sheetViews>
    <sheetView workbookViewId="0">
      <selection activeCell="D18" sqref="D18"/>
    </sheetView>
  </sheetViews>
  <sheetFormatPr defaultRowHeight="13.8" x14ac:dyDescent="0.25"/>
  <cols>
    <col min="1" max="1" width="30.69921875" customWidth="1"/>
    <col min="2" max="2" width="17.69921875" customWidth="1"/>
  </cols>
  <sheetData>
    <row r="1" spans="1:2" x14ac:dyDescent="0.25">
      <c r="A1" s="12" t="s">
        <v>29</v>
      </c>
      <c r="B1" s="14">
        <v>23000</v>
      </c>
    </row>
    <row r="2" spans="1:2" x14ac:dyDescent="0.25">
      <c r="A2" s="12" t="s">
        <v>30</v>
      </c>
      <c r="B2" s="14">
        <v>20000</v>
      </c>
    </row>
    <row r="3" spans="1:2" x14ac:dyDescent="0.25">
      <c r="A3" s="12" t="s">
        <v>31</v>
      </c>
      <c r="B3" s="14">
        <v>25000</v>
      </c>
    </row>
    <row r="4" spans="1:2" x14ac:dyDescent="0.25">
      <c r="A4" s="12" t="s">
        <v>32</v>
      </c>
      <c r="B4" s="14">
        <v>120000</v>
      </c>
    </row>
    <row r="5" spans="1:2" x14ac:dyDescent="0.25">
      <c r="A5" s="3" t="s">
        <v>33</v>
      </c>
      <c r="B5" s="4">
        <v>1</v>
      </c>
    </row>
    <row r="7" spans="1:2" x14ac:dyDescent="0.25">
      <c r="A7" s="13" t="s">
        <v>34</v>
      </c>
      <c r="B7" s="13">
        <f>B2-B3</f>
        <v>-5000</v>
      </c>
    </row>
    <row r="8" spans="1:2" x14ac:dyDescent="0.25">
      <c r="A8" s="13" t="s">
        <v>35</v>
      </c>
      <c r="B8" s="13">
        <f>B2-B1</f>
        <v>-3000</v>
      </c>
    </row>
    <row r="9" spans="1:2" x14ac:dyDescent="0.25">
      <c r="A9" t="s">
        <v>36</v>
      </c>
      <c r="B9">
        <f>B2/B3</f>
        <v>0.8</v>
      </c>
    </row>
    <row r="10" spans="1:2" x14ac:dyDescent="0.25">
      <c r="A10" t="s">
        <v>37</v>
      </c>
      <c r="B10">
        <f>B2/B1</f>
        <v>0.86956521739130432</v>
      </c>
    </row>
    <row r="11" spans="1:2" x14ac:dyDescent="0.25">
      <c r="A11" t="s">
        <v>41</v>
      </c>
      <c r="B11">
        <f>B5/B10</f>
        <v>1.1500000000000001</v>
      </c>
    </row>
    <row r="12" spans="1:2" ht="12" customHeight="1" x14ac:dyDescent="0.25"/>
    <row r="13" spans="1:2" x14ac:dyDescent="0.25">
      <c r="A13" t="s">
        <v>38</v>
      </c>
    </row>
    <row r="14" spans="1:2" x14ac:dyDescent="0.25">
      <c r="A14" t="s">
        <v>39</v>
      </c>
    </row>
    <row r="15" spans="1:2" x14ac:dyDescent="0.25">
      <c r="A15" t="s">
        <v>40</v>
      </c>
    </row>
    <row r="16" spans="1:2" x14ac:dyDescent="0.25">
      <c r="A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C8B5-DDF2-4400-855A-338F0BEF3DF5}">
  <sheetPr>
    <tabColor theme="5" tint="0.79998168889431442"/>
  </sheetPr>
  <dimension ref="A1:C17"/>
  <sheetViews>
    <sheetView workbookViewId="0">
      <selection activeCell="F14" sqref="F14"/>
    </sheetView>
  </sheetViews>
  <sheetFormatPr defaultRowHeight="13.8" x14ac:dyDescent="0.25"/>
  <cols>
    <col min="1" max="1" width="19.09765625" customWidth="1"/>
    <col min="2" max="2" width="15.296875" customWidth="1"/>
  </cols>
  <sheetData>
    <row r="1" spans="1:3" x14ac:dyDescent="0.25">
      <c r="A1" s="3" t="s">
        <v>46</v>
      </c>
      <c r="B1" s="3" t="s">
        <v>57</v>
      </c>
      <c r="C1" t="s">
        <v>65</v>
      </c>
    </row>
    <row r="2" spans="1:3" x14ac:dyDescent="0.25">
      <c r="A2" s="4">
        <v>1</v>
      </c>
      <c r="B2" s="15">
        <v>1</v>
      </c>
      <c r="C2">
        <v>40</v>
      </c>
    </row>
    <row r="3" spans="1:3" x14ac:dyDescent="0.25">
      <c r="A3" s="4">
        <v>2</v>
      </c>
      <c r="B3" s="15">
        <v>1</v>
      </c>
      <c r="C3">
        <v>35</v>
      </c>
    </row>
    <row r="4" spans="1:3" x14ac:dyDescent="0.25">
      <c r="A4" s="4">
        <v>3</v>
      </c>
      <c r="B4" s="15">
        <v>0.5</v>
      </c>
      <c r="C4">
        <v>20</v>
      </c>
    </row>
    <row r="5" spans="1:3" x14ac:dyDescent="0.25">
      <c r="A5" s="3"/>
      <c r="B5" s="4"/>
    </row>
    <row r="6" spans="1:3" x14ac:dyDescent="0.25">
      <c r="A6" s="3" t="s">
        <v>58</v>
      </c>
      <c r="B6" s="4">
        <v>30</v>
      </c>
    </row>
    <row r="7" spans="1:3" x14ac:dyDescent="0.25">
      <c r="A7" s="3" t="s">
        <v>43</v>
      </c>
      <c r="B7" s="4">
        <v>8</v>
      </c>
    </row>
    <row r="8" spans="1:3" x14ac:dyDescent="0.25">
      <c r="A8" s="3" t="s">
        <v>44</v>
      </c>
      <c r="B8" s="4">
        <v>4</v>
      </c>
    </row>
    <row r="9" spans="1:3" x14ac:dyDescent="0.25">
      <c r="A9" s="3" t="s">
        <v>45</v>
      </c>
      <c r="B9" s="4">
        <v>2</v>
      </c>
    </row>
    <row r="10" spans="1:3" x14ac:dyDescent="0.25">
      <c r="A10" s="3"/>
      <c r="B10" s="4"/>
    </row>
    <row r="11" spans="1:3" x14ac:dyDescent="0.25">
      <c r="A11" s="3" t="s">
        <v>59</v>
      </c>
      <c r="B11">
        <f>SUM(C2:C4)</f>
        <v>95</v>
      </c>
    </row>
    <row r="12" spans="1:3" ht="26.4" x14ac:dyDescent="0.25">
      <c r="A12" s="3" t="s">
        <v>60</v>
      </c>
      <c r="B12">
        <f>(B2*B6) + (B3*B6) + (B4*B6)</f>
        <v>75</v>
      </c>
    </row>
    <row r="13" spans="1:3" ht="26.4" x14ac:dyDescent="0.25">
      <c r="A13" s="3" t="s">
        <v>61</v>
      </c>
      <c r="B13">
        <f>((B7/B8)*B9)*B6</f>
        <v>120</v>
      </c>
    </row>
    <row r="14" spans="1:3" x14ac:dyDescent="0.25">
      <c r="A14" s="3"/>
    </row>
    <row r="15" spans="1:3" x14ac:dyDescent="0.25">
      <c r="A15" s="3" t="s">
        <v>62</v>
      </c>
    </row>
    <row r="16" spans="1:3" x14ac:dyDescent="0.25">
      <c r="A16" s="3" t="s">
        <v>63</v>
      </c>
      <c r="B16">
        <f>B12/B11</f>
        <v>0.78947368421052633</v>
      </c>
    </row>
    <row r="17" spans="1:2" x14ac:dyDescent="0.25">
      <c r="A17" s="3" t="s">
        <v>64</v>
      </c>
      <c r="B17">
        <f>B12/B13</f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CC47-36B6-471E-BD40-222FCD8AEEA8}">
  <dimension ref="A1:L9"/>
  <sheetViews>
    <sheetView tabSelected="1" workbookViewId="0">
      <selection activeCell="F12" sqref="F12"/>
    </sheetView>
  </sheetViews>
  <sheetFormatPr defaultRowHeight="13.8" x14ac:dyDescent="0.25"/>
  <cols>
    <col min="8" max="8" width="18.8984375" customWidth="1"/>
    <col min="9" max="9" width="17.19921875" customWidth="1"/>
    <col min="10" max="10" width="14.59765625" customWidth="1"/>
    <col min="11" max="11" width="14.69921875" customWidth="1"/>
    <col min="12" max="12" width="14.59765625" customWidth="1"/>
  </cols>
  <sheetData>
    <row r="1" spans="1:12" ht="27" thickBot="1" x14ac:dyDescent="0.3">
      <c r="A1" s="3" t="s">
        <v>46</v>
      </c>
      <c r="B1" s="3" t="s">
        <v>47</v>
      </c>
      <c r="C1" s="3" t="s">
        <v>48</v>
      </c>
      <c r="D1" s="3" t="s">
        <v>49</v>
      </c>
      <c r="H1" s="1" t="s">
        <v>46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 ht="14.4" thickBot="1" x14ac:dyDescent="0.3">
      <c r="A2" s="3" t="s">
        <v>50</v>
      </c>
      <c r="B2" s="4">
        <v>4</v>
      </c>
      <c r="C2" s="4">
        <v>5</v>
      </c>
      <c r="D2" s="4">
        <v>5</v>
      </c>
      <c r="H2" s="1" t="s">
        <v>50</v>
      </c>
      <c r="I2" s="1"/>
      <c r="J2" s="2">
        <v>2</v>
      </c>
      <c r="K2" s="2">
        <v>2</v>
      </c>
      <c r="L2" s="2">
        <v>4</v>
      </c>
    </row>
    <row r="3" spans="1:12" ht="14.4" thickBot="1" x14ac:dyDescent="0.3">
      <c r="A3" s="3" t="s">
        <v>51</v>
      </c>
      <c r="B3" s="4">
        <v>6</v>
      </c>
      <c r="C3" s="4">
        <v>7</v>
      </c>
      <c r="D3" s="4">
        <v>7</v>
      </c>
      <c r="H3" s="1" t="s">
        <v>51</v>
      </c>
      <c r="I3" s="1"/>
      <c r="J3" s="2">
        <v>3</v>
      </c>
      <c r="K3" s="2">
        <v>2</v>
      </c>
      <c r="L3" s="2">
        <v>6</v>
      </c>
    </row>
    <row r="4" spans="1:12" ht="14.4" thickBot="1" x14ac:dyDescent="0.3">
      <c r="A4" s="3" t="s">
        <v>52</v>
      </c>
      <c r="B4" s="4">
        <v>7.5</v>
      </c>
      <c r="C4" s="4">
        <v>5</v>
      </c>
      <c r="D4" s="4">
        <v>7</v>
      </c>
      <c r="H4" s="1" t="s">
        <v>52</v>
      </c>
      <c r="I4" s="1"/>
      <c r="J4" s="2" t="s">
        <v>70</v>
      </c>
      <c r="K4" s="2">
        <v>3</v>
      </c>
      <c r="L4" s="2" t="s">
        <v>71</v>
      </c>
    </row>
    <row r="5" spans="1:12" ht="14.4" thickBot="1" x14ac:dyDescent="0.3">
      <c r="A5" s="3" t="s">
        <v>53</v>
      </c>
      <c r="B5" s="4">
        <v>6</v>
      </c>
      <c r="C5" s="3"/>
      <c r="D5" s="3"/>
      <c r="H5" s="1" t="s">
        <v>53</v>
      </c>
      <c r="I5" s="1"/>
      <c r="J5" s="2">
        <v>3</v>
      </c>
      <c r="K5" s="2">
        <v>2</v>
      </c>
      <c r="L5" s="2">
        <v>6</v>
      </c>
    </row>
    <row r="6" spans="1:12" ht="14.4" thickBot="1" x14ac:dyDescent="0.3">
      <c r="A6" s="3" t="s">
        <v>54</v>
      </c>
      <c r="B6" s="4">
        <v>8</v>
      </c>
      <c r="C6" s="3"/>
      <c r="D6" s="3"/>
      <c r="H6" s="1" t="s">
        <v>54</v>
      </c>
      <c r="I6" s="1"/>
      <c r="J6" s="2">
        <v>2</v>
      </c>
      <c r="K6" s="2">
        <v>4</v>
      </c>
      <c r="L6" s="2">
        <v>8</v>
      </c>
    </row>
    <row r="7" spans="1:12" ht="14.4" thickBot="1" x14ac:dyDescent="0.3">
      <c r="A7" s="3" t="s">
        <v>55</v>
      </c>
      <c r="B7" s="4">
        <f>SUM(B2:B6)</f>
        <v>31.5</v>
      </c>
      <c r="C7" s="4">
        <f>SUM(C2:C6)</f>
        <v>17</v>
      </c>
      <c r="D7" s="4">
        <f>SUM(D2:D6)</f>
        <v>19</v>
      </c>
      <c r="H7" s="1" t="s">
        <v>72</v>
      </c>
      <c r="I7" s="8" t="s">
        <v>73</v>
      </c>
      <c r="J7" s="1"/>
      <c r="K7" s="1"/>
      <c r="L7" s="2" t="s">
        <v>74</v>
      </c>
    </row>
    <row r="8" spans="1:12" x14ac:dyDescent="0.25">
      <c r="A8" s="3"/>
      <c r="B8" s="3"/>
      <c r="C8" s="3"/>
      <c r="D8" s="3"/>
    </row>
    <row r="9" spans="1:12" ht="26.4" x14ac:dyDescent="0.25">
      <c r="A9" s="3" t="s">
        <v>56</v>
      </c>
      <c r="B9" s="4">
        <v>12</v>
      </c>
      <c r="C9" s="3"/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Bài1</vt:lpstr>
      <vt:lpstr>Bài2</vt:lpstr>
      <vt:lpstr>Bài3</vt:lpstr>
      <vt:lpstr>Bài4</vt:lpstr>
      <vt:lpstr>Bài5</vt:lpstr>
      <vt:lpstr>Bài6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Tam Nguyễn Hồ Trường</cp:lastModifiedBy>
  <dcterms:created xsi:type="dcterms:W3CDTF">2025-11-10T08:42:31Z</dcterms:created>
  <dcterms:modified xsi:type="dcterms:W3CDTF">2025-11-10T10:18:02Z</dcterms:modified>
</cp:coreProperties>
</file>